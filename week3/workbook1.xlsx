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0b840246a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79f720cbb17b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3864"/>
      </x:patternFill>
    </x:fill>
    <x:fill>
      <x:patternFill patternType="solid">
        <x:fgColor rgb="D6E4F0"/>
      </x:patternFill>
    </x:fill>
    <x:fill>
      <x:patternFill patternType="solid">
        <x:fgColor rgb="D4EDEA"/>
      </x:patternFill>
    </x:fill>
    <x:fill>
      <x:patternFill patternType="solid">
        <x:fgColor rgb="E2EFDA"/>
      </x:patternFill>
    </x:fill>
    <x:fill>
      <x:patternFill patternType="solid">
        <x:fgColor rgb="FFF3CD"/>
      </x:patternFill>
    </x:fill>
  </x:fills>
  <x:borders count="20">
    <x:border/>
    <x:border/>
    <x:border>
      <x:left>
        <x:color rgb="8EA9DB"/>
      </x:left>
      <x:right>
        <x:color rgb="C9D3E0"/>
      </x:right>
      <x:top>
        <x:color rgb="8EA9DB"/>
      </x:top>
      <x:bottom>
        <x:color rgb="C9D3E0"/>
      </x:bottom>
    </x:border>
    <x:border>
      <x:left>
        <x:color rgb="C9D3E0"/>
      </x:left>
      <x:right>
        <x:color rgb="C9D3E0"/>
      </x:right>
      <x:top>
        <x:color rgb="8EA9DB"/>
      </x:top>
      <x:bottom>
        <x:color rgb="C9D3E0"/>
      </x:bottom>
    </x:border>
    <x:border>
      <x:left>
        <x:color rgb="C9D3E0"/>
      </x:left>
      <x:right>
        <x:color rgb="8EA9DB"/>
      </x:right>
      <x:top>
        <x:color rgb="8EA9DB"/>
      </x:top>
      <x:bottom>
        <x:color rgb="C9D3E0"/>
      </x:bottom>
    </x:border>
    <x:border>
      <x:left>
        <x:color rgb="8EA9DB"/>
      </x:left>
      <x:right>
        <x:color rgb="C9D3E0"/>
      </x:right>
      <x:top>
        <x:color rgb="C9D3E0"/>
      </x:top>
      <x:bottom>
        <x:color rgb="C9D3E0"/>
      </x:bottom>
    </x:border>
    <x:border>
      <x:left>
        <x:color rgb="C9D3E0"/>
      </x:left>
      <x:right>
        <x:color rgb="C9D3E0"/>
      </x:right>
      <x:top>
        <x:color rgb="C9D3E0"/>
      </x:top>
      <x:bottom>
        <x:color rgb="C9D3E0"/>
      </x:bottom>
    </x:border>
    <x:border>
      <x:left>
        <x:color rgb="C9D3E0"/>
      </x:left>
      <x:right>
        <x:color rgb="8EA9DB"/>
      </x:right>
      <x:top>
        <x:color rgb="C9D3E0"/>
      </x:top>
      <x:bottom>
        <x:color rgb="C9D3E0"/>
      </x:bottom>
    </x:border>
    <x:border>
      <x:left>
        <x:color rgb="8EA9DB"/>
      </x:left>
      <x:right>
        <x:color rgb="C9D3E0"/>
      </x:right>
      <x:top>
        <x:color rgb="C9D3E0"/>
      </x:top>
      <x:bottom>
        <x:color rgb="8EA9DB"/>
      </x:bottom>
    </x:border>
    <x:border>
      <x:left>
        <x:color rgb="C9D3E0"/>
      </x:left>
      <x:right>
        <x:color rgb="C9D3E0"/>
      </x:right>
      <x:top>
        <x:color rgb="C9D3E0"/>
      </x:top>
      <x:bottom>
        <x:color rgb="8EA9DB"/>
      </x:bottom>
    </x:border>
    <x:border>
      <x:left>
        <x:color rgb="C9D3E0"/>
      </x:left>
      <x:right>
        <x:color rgb="8EA9DB"/>
      </x:right>
      <x:top>
        <x:color rgb="C9D3E0"/>
      </x:top>
      <x:bottom>
        <x:color rgb="8EA9DB"/>
      </x:bottom>
    </x:border>
    <x:border>
      <x:left>
        <x:color rgb="8EA9DB"/>
      </x:left>
      <x:right>
        <x:color rgb="C9D3E0"/>
      </x:right>
      <x:top>
        <x:color rgb="8EA9DB"/>
      </x:top>
      <x:bottom>
        <x:color rgb="C9D3E0"/>
      </x:bottom>
    </x:border>
    <x:border>
      <x:left>
        <x:color rgb="C9D3E0"/>
      </x:left>
      <x:right>
        <x:color rgb="C9D3E0"/>
      </x:right>
      <x:top>
        <x:color rgb="8EA9DB"/>
      </x:top>
      <x:bottom>
        <x:color rgb="C9D3E0"/>
      </x:bottom>
    </x:border>
    <x:border>
      <x:left>
        <x:color rgb="C9D3E0"/>
      </x:left>
      <x:right>
        <x:color rgb="8EA9DB"/>
      </x:right>
      <x:top>
        <x:color rgb="8EA9DB"/>
      </x:top>
      <x:bottom>
        <x:color rgb="C9D3E0"/>
      </x:bottom>
    </x:border>
    <x:border>
      <x:left>
        <x:color rgb="8EA9DB"/>
      </x:left>
      <x:right>
        <x:color rgb="C9D3E0"/>
      </x:right>
      <x:top>
        <x:color rgb="C9D3E0"/>
      </x:top>
      <x:bottom>
        <x:color rgb="C9D3E0"/>
      </x:bottom>
    </x:border>
    <x:border>
      <x:left>
        <x:color rgb="C9D3E0"/>
      </x:left>
      <x:right>
        <x:color rgb="C9D3E0"/>
      </x:right>
      <x:top>
        <x:color rgb="C9D3E0"/>
      </x:top>
      <x:bottom>
        <x:color rgb="C9D3E0"/>
      </x:bottom>
    </x:border>
    <x:border>
      <x:left>
        <x:color rgb="C9D3E0"/>
      </x:left>
      <x:right>
        <x:color rgb="8EA9DB"/>
      </x:right>
      <x:top>
        <x:color rgb="C9D3E0"/>
      </x:top>
      <x:bottom>
        <x:color rgb="C9D3E0"/>
      </x:bottom>
    </x:border>
    <x:border>
      <x:left>
        <x:color rgb="8EA9DB"/>
      </x:left>
      <x:right>
        <x:color rgb="C9D3E0"/>
      </x:right>
      <x:top>
        <x:color rgb="C9D3E0"/>
      </x:top>
      <x:bottom>
        <x:color rgb="8EA9DB"/>
      </x:bottom>
    </x:border>
    <x:border>
      <x:left>
        <x:color rgb="C9D3E0"/>
      </x:left>
      <x:right>
        <x:color rgb="C9D3E0"/>
      </x:right>
      <x:top>
        <x:color rgb="C9D3E0"/>
      </x:top>
      <x:bottom>
        <x:color rgb="8EA9DB"/>
      </x:bottom>
    </x:border>
    <x:border>
      <x:left>
        <x:color rgb="C9D3E0"/>
      </x:left>
      <x:right>
        <x:color rgb="8EA9DB"/>
      </x:right>
      <x:top>
        <x:color rgb="C9D3E0"/>
      </x:top>
      <x:bottom>
        <x:color rgb="8EA9DB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3" fillId="0" borderId="5" xfId="0" applyNumberFormat="1" applyFont="1" applyFill="1" applyBorder="1"/>
    <x:xf numFmtId="0" fontId="3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" fillId="2" borderId="11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2" fillId="2" borderId="13" xfId="0" applyNumberFormat="1" applyFont="1" applyFill="1" applyBorder="1" applyAlignment="1">
      <x:alignment horizontal="center" vertical="center"/>
    </x:xf>
    <x:xf numFmtId="0" fontId="0" fillId="3" borderId="14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2" fillId="2" borderId="14" xfId="0" applyNumberFormat="1" applyFont="1" applyFill="1" applyBorder="1"/>
    <x:xf numFmtId="0" fontId="2" fillId="2" borderId="15" xfId="0" applyNumberFormat="1" applyFont="1" applyFill="1" applyBorder="1"/>
    <x:xf numFmtId="0" fontId="3" fillId="0" borderId="14" xfId="0" applyNumberFormat="1" applyFont="1" applyFill="1" applyBorder="1"/>
    <x:xf numFmtId="0" fontId="3" fillId="0" borderId="17" xfId="0" applyNumberFormat="1" applyFont="1" applyFill="1" applyBorder="1"/>
    <x:xf numFmtId="200" fontId="0" fillId="0" borderId="18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3" borderId="15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4" borderId="15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361dba7df49a0" /><Relationship Type="http://schemas.openxmlformats.org/officeDocument/2006/relationships/theme" Target="/xl/theme/theme1.xml" Id="R60c5b73ceb1b41aa" /><Relationship Type="http://schemas.openxmlformats.org/officeDocument/2006/relationships/sharedStrings" Target="/xl/sharedStrings.xml" Id="R2c21f1f41f33411c" /><Relationship Type="http://schemas.openxmlformats.org/officeDocument/2006/relationships/worksheet" Target="/xl/worksheets/sheet1.xml" Id="R79f720cbb17b43ac" /></Relationships>
</file>

<file path=xl/tables/table1.xml><?xml version="1.0" encoding="utf-8"?>
<x:table xmlns:x="http://schemas.openxmlformats.org/spreadsheetml/2006/main" id="1" name="RTMTable" displayName="RTMTable" ref="A2:H18" headerRowCount="1">
  <x:tableColumns count="8">
    <x:tableColumn id="1" name="Req. ID"/>
    <x:tableColumn id="2" name="Requirement"/>
    <x:tableColumn id="3" name="Priority"/>
    <x:tableColumn id="4" name="TC ID(s)"/>
    <x:tableColumn id="5" name="Test Case Title"/>
    <x:tableColumn id="6" name="Test Type"/>
    <x:tableColumn id="7" name="Covered? (Y/N/Gap)"/>
    <x:tableColumn id="8" name="Test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599baa48524d0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1" hidden="0" customWidth="1"/>
    <x:col min="4" max="4" width="20" hidden="0" customWidth="1"/>
    <x:col min="5" max="5" width="36" hidden="0" customWidth="1"/>
    <x:col min="6" max="6" width="22" hidden="0" customWidth="1"/>
    <x:col min="7" max="7" width="18" hidden="0" customWidth="1"/>
    <x:col min="8" max="8" width="18" hidden="0" customWidth="1"/>
  </x:cols>
  <x:sheetData>
    <x:row r="1" ht="28" customHeight="1">
      <x:c r="A1" s="7" t="str">
        <x:v>Requirement Traceability Matrix (RTM) - University Library Management System</x:v>
      </x:c>
      <x:c r="B1" s="7"/>
      <x:c r="C1" s="7"/>
      <x:c r="D1" s="7"/>
      <x:c r="E1" s="7"/>
      <x:c r="F1" s="7"/>
      <x:c r="G1" s="7"/>
      <x:c r="H1" s="7"/>
    </x:row>
    <x:row r="2" ht="24" customHeight="1">
      <x:c r="A2" s="36" t="str">
        <x:v>Req. ID</x:v>
      </x:c>
      <x:c r="B2" s="37" t="str">
        <x:v>Requirement</x:v>
      </x:c>
      <x:c r="C2" s="37" t="str">
        <x:v>Priority</x:v>
      </x:c>
      <x:c r="D2" s="37" t="str">
        <x:v>TC ID(s)</x:v>
      </x:c>
      <x:c r="E2" s="37" t="str">
        <x:v>Test Case Title</x:v>
      </x:c>
      <x:c r="F2" s="37" t="str">
        <x:v>Test Type</x:v>
      </x:c>
      <x:c r="G2" s="37" t="str">
        <x:v>Covered? (Y/N/Gap)</x:v>
      </x:c>
      <x:c r="H2" s="38" t="str">
        <x:v>Tester</x:v>
      </x:c>
    </x:row>
    <x:row r="3">
      <x:c r="A3" s="86" t="str">
        <x:v>REQ-01</x:v>
      </x:c>
      <x:c r="B3" s="87" t="str">
        <x:v>User shall log in with valid credentials</x:v>
      </x:c>
      <x:c r="C3" s="87" t="str">
        <x:v>High</x:v>
      </x:c>
      <x:c r="D3" s="87" t="str">
        <x:v>TC-001, TC-002</x:v>
      </x:c>
      <x:c r="E3" s="87" t="str">
        <x:v>Valid login / Invalid username login</x:v>
      </x:c>
      <x:c r="F3" s="87" t="str">
        <x:v>Functional</x:v>
      </x:c>
      <x:c r="G3" s="87" t="str">
        <x:v>Y</x:v>
      </x:c>
      <x:c r="H3" s="88" t="str">
        <x:v>Sulman Farooq</x:v>
      </x:c>
    </x:row>
    <x:row r="4">
      <x:c r="A4" s="86" t="str">
        <x:v>REQ-02</x:v>
      </x:c>
      <x:c r="B4" s="87" t="str">
        <x:v>System shall lock account after 3 failed attempts</x:v>
      </x:c>
      <x:c r="C4" s="87" t="str">
        <x:v>High</x:v>
      </x:c>
      <x:c r="D4" s="87" t="str">
        <x:v>TC-003</x:v>
      </x:c>
      <x:c r="E4" s="87" t="str">
        <x:v>Account lockout after 3 failed attempts</x:v>
      </x:c>
      <x:c r="F4" s="87" t="str">
        <x:v>Functional, Security</x:v>
      </x:c>
      <x:c r="G4" s="87" t="str">
        <x:v>Y</x:v>
      </x:c>
      <x:c r="H4" s="88" t="str">
        <x:v>Sulman Farooq</x:v>
      </x:c>
    </x:row>
    <x:row r="5">
      <x:c r="A5" s="86" t="str">
        <x:v>REQ-03</x:v>
      </x:c>
      <x:c r="B5" s="87" t="str">
        <x:v>Password reset email within 2 minutes</x:v>
      </x:c>
      <x:c r="C5" s="87" t="str">
        <x:v>Medium</x:v>
      </x:c>
      <x:c r="D5" s="87" t="str">
        <x:v>TC-004</x:v>
      </x:c>
      <x:c r="E5" s="87" t="str">
        <x:v>Password reset email delivery</x:v>
      </x:c>
      <x:c r="F5" s="87" t="str">
        <x:v>Functional, Performance</x:v>
      </x:c>
      <x:c r="G5" s="87" t="str">
        <x:v>Y</x:v>
      </x:c>
      <x:c r="H5" s="88" t="str">
        <x:v>Sulman Farooq</x:v>
      </x:c>
    </x:row>
    <x:row r="6">
      <x:c r="A6" s="86" t="str">
        <x:v>REQ-04</x:v>
      </x:c>
      <x:c r="B6" s="87" t="str">
        <x:v>Session expires after 30 min inactivity</x:v>
      </x:c>
      <x:c r="C6" s="87" t="str">
        <x:v>High</x:v>
      </x:c>
      <x:c r="D6" s="87" t="str">
        <x:v>TC-005, TC-006</x:v>
      </x:c>
      <x:c r="E6" s="87" t="str">
        <x:v>Session timeout / Session timer reset on activity</x:v>
      </x:c>
      <x:c r="F6" s="87" t="str">
        <x:v>Functional, Security</x:v>
      </x:c>
      <x:c r="G6" s="87" t="str">
        <x:v>Y</x:v>
      </x:c>
      <x:c r="H6" s="88" t="str">
        <x:v>Sulman Farooq</x:v>
      </x:c>
    </x:row>
    <x:row r="7">
      <x:c r="A7" s="89" t="str">
        <x:v>REQ-05</x:v>
      </x:c>
      <x:c r="B7" s="90" t="str">
        <x:v>Search by title, author, ISBN</x:v>
      </x:c>
      <x:c r="C7" s="90" t="str">
        <x:v>High</x:v>
      </x:c>
      <x:c r="D7" s="90" t="str">
        <x:v>TC-007, TC-008, TC-009</x:v>
      </x:c>
      <x:c r="E7" s="90" t="str">
        <x:v>Search by title / Search by author / Search by ISBN</x:v>
      </x:c>
      <x:c r="F7" s="90" t="str">
        <x:v>Functional</x:v>
      </x:c>
      <x:c r="G7" s="90" t="str">
        <x:v>Y</x:v>
      </x:c>
      <x:c r="H7" s="91" t="str">
        <x:v>Sulman Farooq</x:v>
      </x:c>
    </x:row>
    <x:row r="8">
      <x:c r="A8" s="89" t="str">
        <x:v>REQ-06</x:v>
      </x:c>
      <x:c r="B8" s="90" t="str">
        <x:v>Filter by genre and availability</x:v>
      </x:c>
      <x:c r="C8" s="90" t="str">
        <x:v>Medium</x:v>
      </x:c>
      <x:c r="D8" s="90" t="str">
        <x:v>TC-010, TC-011</x:v>
      </x:c>
      <x:c r="E8" s="90" t="str">
        <x:v>Filter by genre / Filter by availability</x:v>
      </x:c>
      <x:c r="F8" s="90" t="str">
        <x:v>Functional</x:v>
      </x:c>
      <x:c r="G8" s="90" t="str">
        <x:v>Y</x:v>
      </x:c>
      <x:c r="H8" s="91" t="str">
        <x:v>Sulman Farooq</x:v>
      </x:c>
    </x:row>
    <x:row r="9">
      <x:c r="A9" s="89" t="str">
        <x:v>REQ-07</x:v>
      </x:c>
      <x:c r="B9" s="90" t="str">
        <x:v>Search results display within 2 seconds</x:v>
      </x:c>
      <x:c r="C9" s="90" t="str">
        <x:v>High</x:v>
      </x:c>
      <x:c r="D9" s="90" t="str">
        <x:v>TC-012</x:v>
      </x:c>
      <x:c r="E9" s="90" t="str">
        <x:v>Search response time under 2 seconds</x:v>
      </x:c>
      <x:c r="F9" s="90" t="str">
        <x:v>Performance</x:v>
      </x:c>
      <x:c r="G9" s="90" t="str">
        <x:v>Y</x:v>
      </x:c>
      <x:c r="H9" s="91" t="str">
        <x:v>Sulman Farooq</x:v>
      </x:c>
    </x:row>
    <x:row r="10">
      <x:c r="A10" s="89" t="str">
        <x:v>REQ-08</x:v>
      </x:c>
      <x:c r="B10" s="90" t="str">
        <x:v>Pagination for results greater than 20</x:v>
      </x:c>
      <x:c r="C10" s="90" t="str">
        <x:v>Low</x:v>
      </x:c>
      <x:c r="D10" s="90" t="str">
        <x:v>TC-013</x:v>
      </x:c>
      <x:c r="E10" s="90" t="str">
        <x:v>Pagination with 21+ results</x:v>
      </x:c>
      <x:c r="F10" s="90" t="str">
        <x:v>Functional</x:v>
      </x:c>
      <x:c r="G10" s="90" t="str">
        <x:v>Y</x:v>
      </x:c>
      <x:c r="H10" s="91" t="str">
        <x:v>Sulman Farooq</x:v>
      </x:c>
    </x:row>
    <x:row r="11">
      <x:c r="A11" s="92" t="str">
        <x:v>REQ-09</x:v>
      </x:c>
      <x:c r="B11" s="93" t="str">
        <x:v>Issue book loan to registered student</x:v>
      </x:c>
      <x:c r="C11" s="93" t="str">
        <x:v>High</x:v>
      </x:c>
      <x:c r="D11" s="93" t="str">
        <x:v>TC-014, TC-015</x:v>
      </x:c>
      <x:c r="E11" s="93" t="str">
        <x:v>Issue loan - valid student / Issue loan - unregistered student</x:v>
      </x:c>
      <x:c r="F11" s="93" t="str">
        <x:v>Functional</x:v>
      </x:c>
      <x:c r="G11" s="93" t="str">
        <x:v>Y</x:v>
      </x:c>
      <x:c r="H11" s="94" t="str">
        <x:v>Sulman Farooq</x:v>
      </x:c>
    </x:row>
    <x:row r="12">
      <x:c r="A12" s="92" t="str">
        <x:v>REQ-10</x:v>
      </x:c>
      <x:c r="B12" s="93" t="str">
        <x:v>Set due date to 14 days from issue</x:v>
      </x:c>
      <x:c r="C12" s="93" t="str">
        <x:v>High</x:v>
      </x:c>
      <x:c r="D12" s="93" t="str">
        <x:v>TC-016, TC-017</x:v>
      </x:c>
      <x:c r="E12" s="93" t="str">
        <x:v>Due date calculation - standard / month boundary</x:v>
      </x:c>
      <x:c r="F12" s="93" t="str">
        <x:v>Functional</x:v>
      </x:c>
      <x:c r="G12" s="93" t="str">
        <x:v>Y</x:v>
      </x:c>
      <x:c r="H12" s="94" t="str">
        <x:v>Sulman Farooq</x:v>
      </x:c>
    </x:row>
    <x:row r="13">
      <x:c r="A13" s="92" t="str">
        <x:v>REQ-11</x:v>
      </x:c>
      <x:c r="B13" s="93" t="str">
        <x:v>Renew loan if no hold requests</x:v>
      </x:c>
      <x:c r="C13" s="93" t="str">
        <x:v>Medium</x:v>
      </x:c>
      <x:c r="D13" s="93" t="str">
        <x:v>TC-018, TC-019</x:v>
      </x:c>
      <x:c r="E13" s="93" t="str">
        <x:v>Renew loan - no hold / Renew attempt - hold exists</x:v>
      </x:c>
      <x:c r="F13" s="93" t="str">
        <x:v>Functional</x:v>
      </x:c>
      <x:c r="G13" s="93" t="str">
        <x:v>Y</x:v>
      </x:c>
      <x:c r="H13" s="94" t="str">
        <x:v>Sulman Farooq</x:v>
      </x:c>
    </x:row>
    <x:row r="14">
      <x:c r="A14" s="92" t="str">
        <x:v>REQ-12</x:v>
      </x:c>
      <x:c r="B14" s="93" t="str">
        <x:v>Calculate overdue fines</x:v>
      </x:c>
      <x:c r="C14" s="93" t="str">
        <x:v>Medium</x:v>
      </x:c>
      <x:c r="D14" s="93" t="str">
        <x:v>TC-020, TC-021</x:v>
      </x:c>
      <x:c r="E14" s="93" t="str">
        <x:v>Fine calculation - 1 day overdue / 10 days overdue</x:v>
      </x:c>
      <x:c r="F14" s="93" t="str">
        <x:v>Functional</x:v>
      </x:c>
      <x:c r="G14" s="93" t="str">
        <x:v>Y</x:v>
      </x:c>
      <x:c r="H14" s="94" t="str">
        <x:v>Sulman Farooq</x:v>
      </x:c>
    </x:row>
    <x:row r="15">
      <x:c r="A15" s="95" t="str">
        <x:v>REQ-13</x:v>
      </x:c>
      <x:c r="B15" s="96" t="str">
        <x:v>Email reminder 2 days before due date</x:v>
      </x:c>
      <x:c r="C15" s="96" t="str">
        <x:v>Medium</x:v>
      </x:c>
      <x:c r="D15" s="96" t="str">
        <x:v>TC-022</x:v>
      </x:c>
      <x:c r="E15" s="96" t="str">
        <x:v>Email reminder sent 48 hours before due</x:v>
      </x:c>
      <x:c r="F15" s="96" t="str">
        <x:v>Functional</x:v>
      </x:c>
      <x:c r="G15" s="96" t="str">
        <x:v>Y</x:v>
      </x:c>
      <x:c r="H15" s="97" t="str">
        <x:v>Sulman Farooq</x:v>
      </x:c>
    </x:row>
    <x:row r="16">
      <x:c r="A16" s="95" t="str">
        <x:v>REQ-14</x:v>
      </x:c>
      <x:c r="B16" s="96" t="str">
        <x:v>SMS alert on overdue items</x:v>
      </x:c>
      <x:c r="C16" s="96" t="str">
        <x:v>Low</x:v>
      </x:c>
      <x:c r="D16" s="96" t="str">
        <x:v>TC-023</x:v>
      </x:c>
      <x:c r="E16" s="96" t="str">
        <x:v>SMS alert on overdue loan</x:v>
      </x:c>
      <x:c r="F16" s="96" t="str">
        <x:v>Functional</x:v>
      </x:c>
      <x:c r="G16" s="96" t="str">
        <x:v>Y</x:v>
      </x:c>
      <x:c r="H16" s="97" t="str">
        <x:v>Sulman Farooq</x:v>
      </x:c>
    </x:row>
    <x:row r="17">
      <x:c r="A17" s="95" t="str">
        <x:v>REQ-15</x:v>
      </x:c>
      <x:c r="B17" s="96" t="str">
        <x:v>User configures notification preferences</x:v>
      </x:c>
      <x:c r="C17" s="96" t="str">
        <x:v>Low</x:v>
      </x:c>
      <x:c r="D17" s="96" t="str">
        <x:v>TC-024, TC-025</x:v>
      </x:c>
      <x:c r="E17" s="96" t="str">
        <x:v>Enable email notification / Disable SMS notification</x:v>
      </x:c>
      <x:c r="F17" s="96" t="str">
        <x:v>Functional, Usability</x:v>
      </x:c>
      <x:c r="G17" s="96" t="str">
        <x:v>Y</x:v>
      </x:c>
      <x:c r="H17" s="97" t="str">
        <x:v>Sulman Farooq</x:v>
      </x:c>
    </x:row>
    <x:row r="18">
      <x:c r="A18" s="95" t="str">
        <x:v>REQ-16</x:v>
      </x:c>
      <x:c r="B18" s="96" t="str">
        <x:v>System emails dispatched within 5 minutes</x:v>
      </x:c>
      <x:c r="C18" s="96" t="str">
        <x:v>Medium</x:v>
      </x:c>
      <x:c r="D18" s="96" t="str">
        <x:v>TC-026</x:v>
      </x:c>
      <x:c r="E18" s="96" t="str">
        <x:v>Email dispatch time under 5 minutes</x:v>
      </x:c>
      <x:c r="F18" s="96" t="str">
        <x:v>Performance</x:v>
      </x:c>
      <x:c r="G18" s="96" t="str">
        <x:v>Y</x:v>
      </x:c>
      <x:c r="H18" s="97" t="str">
        <x:v>Sulman Farooq</x:v>
      </x:c>
    </x:row>
    <x:row r="19">
      <x:c r="A19" s="51"/>
      <x:c r="B19" s="52"/>
      <x:c r="C19" s="52"/>
      <x:c r="D19" s="52"/>
      <x:c r="E19" s="52"/>
      <x:c r="F19" s="52"/>
      <x:c r="G19" s="52"/>
      <x:c r="H19" s="53"/>
    </x:row>
    <x:row r="20">
      <x:c r="A20" s="110" t="str">
        <x:v>COVERAGE SUMMARY</x:v>
      </x:c>
      <x:c r="B20" s="111" t="str"/>
      <x:c r="C20" s="52"/>
      <x:c r="D20" s="52"/>
      <x:c r="E20" s="52"/>
      <x:c r="F20" s="52"/>
      <x:c r="G20" s="52"/>
      <x:c r="H20" s="53"/>
    </x:row>
    <x:row r="21">
      <x:c r="A21" s="56" t="str">
        <x:v>Total Requirements:</x:v>
      </x:c>
      <x:c r="B21" s="52" t="n">
        <x:v>16</x:v>
      </x:c>
      <x:c r="C21" s="52"/>
      <x:c r="D21" s="52"/>
      <x:c r="E21" s="52"/>
      <x:c r="F21" s="52"/>
      <x:c r="G21" s="52"/>
      <x:c r="H21" s="53"/>
    </x:row>
    <x:row r="22">
      <x:c r="A22" s="56" t="str">
        <x:v>Fully Covered (Y):</x:v>
      </x:c>
      <x:c r="B22" s="52" t="n">
        <x:f>COUNTIF(G3:G18,"Y")</x:f>
        <x:v>16</x:v>
      </x:c>
      <x:c r="C22" s="52"/>
      <x:c r="D22" s="52"/>
      <x:c r="E22" s="52"/>
      <x:c r="F22" s="52"/>
      <x:c r="G22" s="52"/>
      <x:c r="H22" s="53"/>
    </x:row>
    <x:row r="23">
      <x:c r="A23" s="56" t="str">
        <x:v>Gaps (Gap):</x:v>
      </x:c>
      <x:c r="B23" s="52" t="n">
        <x:f>COUNTIF(G3:G18,"Gap")</x:f>
        <x:v>0</x:v>
      </x:c>
      <x:c r="C23" s="52"/>
      <x:c r="D23" s="52"/>
      <x:c r="E23" s="52"/>
      <x:c r="F23" s="52"/>
      <x:c r="G23" s="52"/>
      <x:c r="H23" s="53"/>
    </x:row>
    <x:row r="24">
      <x:c r="A24" s="57" t="str">
        <x:v>Coverage %:</x:v>
      </x:c>
      <x:c r="B24" s="58" t="n">
        <x:f>COUNTIF(G3:G18,"Y")/16</x:f>
        <x:v>1</x:v>
      </x:c>
      <x:c r="C24" s="59"/>
      <x:c r="D24" s="59"/>
      <x:c r="E24" s="59"/>
      <x:c r="F24" s="59"/>
      <x:c r="G24" s="59"/>
      <x:c r="H24" s="60"/>
    </x:row>
  </x:sheetData>
  <x:mergeCells>
    <x:mergeCell ref="A1:H1"/>
    <x:mergeCell ref="A20:B20"/>
  </x:mergeCells>
  <x:dataValidations count="3">
    <x:dataValidation type="list" sqref="C3:C18">
      <x:formula1>"High,Medium,Low"</x:formula1>
    </x:dataValidation>
    <x:dataValidation type="list" sqref="G3:G18">
      <x:formula1>"Y,N,Gap"</x:formula1>
    </x:dataValidation>
    <x:dataValidation type="list" sqref="F3:F18">
      <x:formula1>"Functional,Performance,Security,Usability,Compatibility,Functional, Security,Functional, Performance,Functional, Usability"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599baa48524d0a"/>
  </x:tableParts>
</x:worksheet>
</file>